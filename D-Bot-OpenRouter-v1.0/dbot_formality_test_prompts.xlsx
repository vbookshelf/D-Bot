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 Cases" sheetId="1" state="visible" r:id="rId3"/>
    <sheet name="How to test" sheetId="2" state="visible" r:id="rId4"/>
  </sheets>
  <definedNames>
    <definedName function="false" hidden="false" localSheetId="0" name="_xlnm.Print_Titles" vbProcedure="false">'Test Cases'!$8:$8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<sst xmlns="http://schemas.openxmlformats.org/spreadsheetml/2006/main" count="186" uniqueCount="135">
  <si>
    <t xml:space="preserve">D-Bot: Sie / du (formal / informal) test prompts</t>
  </si>
  <si>
    <t xml:space="preserve">Select the Setting shown (the Formal (Sie) / Informal (du) radio buttons), send the prompt exactly as written, then fill in the yellow Result column. See the "How to test" sheet for setup and what to look for.</t>
  </si>
  <si>
    <t xml:space="preserve">Total tests</t>
  </si>
  <si>
    <t xml:space="preserve">Passed</t>
  </si>
  <si>
    <t xml:space="preserve">Failed</t>
  </si>
  <si>
    <t xml:space="preserve">Not yet run</t>
  </si>
  <si>
    <t xml:space="preserve">ID</t>
  </si>
  <si>
    <t xml:space="preserve">Area</t>
  </si>
  <si>
    <t xml:space="preserve">Round</t>
  </si>
  <si>
    <t xml:space="preserve">Setting to select</t>
  </si>
  <si>
    <t xml:space="preserve">Prompt to send (copy exactly)</t>
  </si>
  <si>
    <t xml:space="preserve">English meaning</t>
  </si>
  <si>
    <t xml:space="preserve">Expected result</t>
  </si>
  <si>
    <t xml:space="preserve">Fail if</t>
  </si>
  <si>
    <t xml:space="preserve">Result</t>
  </si>
  <si>
    <t xml:space="preserve">Notes</t>
  </si>
  <si>
    <t xml:space="preserve">C1</t>
  </si>
  <si>
    <t xml:space="preserve">Chat + proofreader</t>
  </si>
  <si>
    <t xml:space="preserve">Formal (Sie)</t>
  </si>
  <si>
    <t xml:space="preserve">Hallo! Wie geht es dir?</t>
  </si>
  <si>
    <t xml:space="preserve">Hi! How are you? (uses the informal "dir")</t>
  </si>
  <si>
    <t xml:space="preserve">Correction changes it to: Hallo! Wie geht es Ihnen?  The reply addresses you with Sie / Ihnen.</t>
  </si>
  <si>
    <t xml:space="preserve">The reply contains du, dir, dich or dein.</t>
  </si>
  <si>
    <t xml:space="preserve">C2</t>
  </si>
  <si>
    <t xml:space="preserve">Informal (du)</t>
  </si>
  <si>
    <t xml:space="preserve">Haben Sie heute Zeit?</t>
  </si>
  <si>
    <t xml:space="preserve">Do you have time today? (uses the formal "Sie")</t>
  </si>
  <si>
    <t xml:space="preserve">Correction changes it to: Hast du heute Zeit?  The reply addresses you with du / dir.</t>
  </si>
  <si>
    <t xml:space="preserve">The reply contains Sie, Ihnen or Ihr.</t>
  </si>
  <si>
    <t xml:space="preserve">C3a</t>
  </si>
  <si>
    <t xml:space="preserve">Chat (switch test, step 1)</t>
  </si>
  <si>
    <t xml:space="preserve">Ich möchte über mein Wochenende sprechen.</t>
  </si>
  <si>
    <t xml:space="preserve">I'd like to talk about my weekend.</t>
  </si>
  <si>
    <t xml:space="preserve">No correction (the sentence has neither du nor Sie). If the reply addresses you, it uses du.</t>
  </si>
  <si>
    <t xml:space="preserve">A correction appears, or the reply uses Sie. (If the reply doesn't address you at all, send another message before judging.)</t>
  </si>
  <si>
    <t xml:space="preserve">C3b</t>
  </si>
  <si>
    <t xml:space="preserve">Chat (switch test, step 2)</t>
  </si>
  <si>
    <t xml:space="preserve">Formal (Sie) (switch the radio first)</t>
  </si>
  <si>
    <t xml:space="preserve">Ich möchte über meine Arbeit sprechen.</t>
  </si>
  <si>
    <t xml:space="preserve">I'd like to talk about my work.</t>
  </si>
  <si>
    <t xml:space="preserve">No correction. The very next reply switches to Sie / Ihnen straight away. Do this in the SAME chat as C3a.</t>
  </si>
  <si>
    <t xml:space="preserve">The reply still uses du / dir after you switched to Formal.</t>
  </si>
  <si>
    <t xml:space="preserve">C4</t>
  </si>
  <si>
    <t xml:space="preserve">Meine Schwester wohnt in Berlin. Sie arbeitet als Krankenschwester.</t>
  </si>
  <si>
    <t xml:space="preserve">My sister lives in Berlin. She works as a nurse.</t>
  </si>
  <si>
    <t xml:space="preserve">No correction. "Sie" at the start of the second sentence means "She" and must be left alone.</t>
  </si>
  <si>
    <t xml:space="preserve">The proofreader rewrites the sentence (for example "Sie arbeitet" becomes "Du arbeitest") or shows any correction.</t>
  </si>
  <si>
    <t xml:space="preserve">C5</t>
  </si>
  <si>
    <t xml:space="preserve">Proofreader</t>
  </si>
  <si>
    <t xml:space="preserve">Either</t>
  </si>
  <si>
    <t xml:space="preserve">ich mochte ein kaffee</t>
  </si>
  <si>
    <t xml:space="preserve">I would like a coffee (typed without umlaut or capitals)</t>
  </si>
  <si>
    <t xml:space="preserve">Correction is exactly: Ich möchte einen Kaffee.  Nothing else.</t>
  </si>
  <si>
    <t xml:space="preserve">The correction includes an explanation, a note or a translation.</t>
  </si>
  <si>
    <t xml:space="preserve">C6</t>
  </si>
  <si>
    <t xml:space="preserve">Hallo! Wie geht es dir heute?</t>
  </si>
  <si>
    <t xml:space="preserve">Hi! How are you today? (uses the informal "dir")</t>
  </si>
  <si>
    <t xml:space="preserve">Correction changes "dir" to "Ihnen". The reply uses Sie.</t>
  </si>
  <si>
    <t xml:space="preserve">The reply contains du, dir or dich.</t>
  </si>
  <si>
    <t xml:space="preserve">C7</t>
  </si>
  <si>
    <t xml:space="preserve">Haben Sie heute Zeit für ein Gespräch?</t>
  </si>
  <si>
    <t xml:space="preserve">Do you have time for a conversation today? (formal)</t>
  </si>
  <si>
    <t xml:space="preserve">Correction: Hast du heute Zeit für ein Gespräch?  The reply uses du, e.g. "Worüber möchtest du sprechen?"</t>
  </si>
  <si>
    <t xml:space="preserve">The reply uses Sie / Ihnen.</t>
  </si>
  <si>
    <t xml:space="preserve">C8</t>
  </si>
  <si>
    <t xml:space="preserve">Chat (switch test)</t>
  </si>
  <si>
    <t xml:space="preserve">Was machen Sie am Wochenende?</t>
  </si>
  <si>
    <t xml:space="preserve">What are you doing at the weekend? (formal)</t>
  </si>
  <si>
    <t xml:space="preserve">No correction (already formal). The next reply switches to Sie right away. Do this in the SAME chat as C7.</t>
  </si>
  <si>
    <t xml:space="preserve">The reply keeps using du after the switch.</t>
  </si>
  <si>
    <t xml:space="preserve">T1</t>
  </si>
  <si>
    <t xml:space="preserve">Translator overlay</t>
  </si>
  <si>
    <t xml:space="preserve">How are you?</t>
  </si>
  <si>
    <t xml:space="preserve">(English text to translate)</t>
  </si>
  <si>
    <t xml:space="preserve">Only the German translation, with no notes: Wie geht es Ihnen?</t>
  </si>
  <si>
    <t xml:space="preserve">The output contains du / dir / dein, or any note / label / explanation.</t>
  </si>
  <si>
    <t xml:space="preserve">T2</t>
  </si>
  <si>
    <t xml:space="preserve">Only the German translation, with no notes: Wie geht es dir?</t>
  </si>
  <si>
    <t xml:space="preserve">The output contains Sie / Ihnen / Ihr, or any note / label / explanation.</t>
  </si>
  <si>
    <t xml:space="preserve">T3</t>
  </si>
  <si>
    <t xml:space="preserve">Can I help you?</t>
  </si>
  <si>
    <t xml:space="preserve">Only the German translation, with no notes: Kann ich Ihnen helfen?</t>
  </si>
  <si>
    <t xml:space="preserve">T4</t>
  </si>
  <si>
    <t xml:space="preserve">Only the German translation, with no notes: Kann ich dir helfen?</t>
  </si>
  <si>
    <t xml:space="preserve">T5</t>
  </si>
  <si>
    <t xml:space="preserve">Do you have time?</t>
  </si>
  <si>
    <t xml:space="preserve">Only the German translation, with no notes: Haben Sie Zeit?</t>
  </si>
  <si>
    <t xml:space="preserve">T6</t>
  </si>
  <si>
    <t xml:space="preserve">Only the German translation, with no notes: Hast du Zeit?</t>
  </si>
  <si>
    <t xml:space="preserve">T7</t>
  </si>
  <si>
    <t xml:space="preserve">Thank you for your help.</t>
  </si>
  <si>
    <t xml:space="preserve">Only the German translation, with no notes: Danke für Ihre Hilfe.</t>
  </si>
  <si>
    <t xml:space="preserve">T8</t>
  </si>
  <si>
    <t xml:space="preserve">Only the German translation, with no notes: Danke für deine Hilfe.</t>
  </si>
  <si>
    <t xml:space="preserve">T9</t>
  </si>
  <si>
    <t xml:space="preserve">How are you? Can I help you?</t>
  </si>
  <si>
    <t xml:space="preserve">Only the German translation: Wie geht es Ihnen? Kann ich Ihnen helfen?</t>
  </si>
  <si>
    <t xml:space="preserve">The output contains du / dir, or any note.</t>
  </si>
  <si>
    <t xml:space="preserve">T10</t>
  </si>
  <si>
    <t xml:space="preserve">Only the German translation: Wie geht es dir? Kann ich dir helfen?</t>
  </si>
  <si>
    <t xml:space="preserve">The output contains Sie / Ihnen, or any note.</t>
  </si>
  <si>
    <t xml:space="preserve">T11</t>
  </si>
  <si>
    <t xml:space="preserve">Translator: source-language test</t>
  </si>
  <si>
    <t xml:space="preserve">Informal (du) (set your language to French)</t>
  </si>
  <si>
    <t xml:space="preserve">Comment allez-vous ?</t>
  </si>
  <si>
    <t xml:space="preserve">How are you? (the FORMAL French form, "vous")</t>
  </si>
  <si>
    <t xml:space="preserve">Wie geht es dir?  The setting wins over the formality of the source text.</t>
  </si>
  <si>
    <t xml:space="preserve">The output is "Wie geht es Ihnen?" (the model copied the source's formality).</t>
  </si>
  <si>
    <t xml:space="preserve">T12</t>
  </si>
  <si>
    <t xml:space="preserve">Informal (du) (set your language to Turkish)</t>
  </si>
  <si>
    <t xml:space="preserve">Nasılsınız?</t>
  </si>
  <si>
    <t xml:space="preserve">How are you? (the formal Turkish form, "siz")</t>
  </si>
  <si>
    <t xml:space="preserve">How to run these tests</t>
  </si>
  <si>
    <t xml:space="preserve">Before you start</t>
  </si>
  <si>
    <t xml:space="preserve">Open Settings and turn Correction ON so you can see the proofreader's output. Keep Translation ON and the language set to English (the English text under each reply can't show the Sie/du difference, so always read the German).</t>
  </si>
  <si>
    <t xml:space="preserve">Where the setting is</t>
  </si>
  <si>
    <t xml:space="preserve">The Formal (Sie) / Informal (du) radio buttons sit above the message box. The Translator overlay has its own pair; the two pairs always show the same choice, and changing either one clears an old translation.</t>
  </si>
  <si>
    <t xml:space="preserve">Informal (du) words</t>
  </si>
  <si>
    <t xml:space="preserve">du, dir, dich, dein, deine, deinen ...</t>
  </si>
  <si>
    <t xml:space="preserve">Formal (Sie) words</t>
  </si>
  <si>
    <t xml:space="preserve">Sie (capital S), Ihnen, Ihr, Ihre, Ihren ...</t>
  </si>
  <si>
    <t xml:space="preserve">Ignore</t>
  </si>
  <si>
    <t xml:space="preserve">A lowercase "sie" means "she" or "they" and is correct in either mode. A capital "Sie" at the START of a sentence can also mean "She".</t>
  </si>
  <si>
    <t xml:space="preserve">Switch tests</t>
  </si>
  <si>
    <t xml:space="preserve">Tests marked "switch" (C3a/C3b and C7/C8) must be done in the same conversation, in order. Switch the radio, send the next prompt, and check that the very next reply changes form.</t>
  </si>
  <si>
    <t xml:space="preserve">Replies vary</t>
  </si>
  <si>
    <t xml:space="preserve">The bot's exact wording will differ each time. Judge each test only by which pronouns appear and by the Expected result column. If a reply doesn't address you at all, send another message before judging.</t>
  </si>
  <si>
    <t xml:space="preserve">Translator tests</t>
  </si>
  <si>
    <t xml:space="preserve">Open the Translator overlay (language = the one named in the Setting column if given; otherwise any), select the setting, type the prompt and press Translate. The output should be ONLY the German translation.</t>
  </si>
  <si>
    <t xml:space="preserve">Rounds</t>
  </si>
  <si>
    <t xml:space="preserve">Round 1 = the first set of prompts. Round 2 = the simplified set written for a non-German speaker. Both are included.</t>
  </si>
  <si>
    <t xml:space="preserve">Optional technical check</t>
  </si>
  <si>
    <t xml:space="preserve">In the browser's developer tools (Network tab), each chat and translator request should include formality=sie or formality=du.</t>
  </si>
  <si>
    <t xml:space="preserve">Recording results</t>
  </si>
  <si>
    <t xml:space="preserve">Use the yellow Result dropdown on the Test Cases sheet (Pass or Fail) and add anything unusual in Notes. The counts at the top update automatically. If a test fails, note the prompt, the setting and what came back.</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</si>
</sst>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0"/>
      <name val="Arial"/>
      <family val="0"/>
      <charset val="1"/>
    </font>
    <font>
      <b val="true"/>
      <sz val="10"/>
      <color rgb="FFFFFFFF"/>
      <name val="Arial"/>
      <family val="0"/>
      <charset val="1"/>
    </font>
    <font>
      <sz val="10"/>
      <name val="Arial"/>
      <family val="0"/>
      <charset val="1"/>
    </font>
    <font>
      <sz val="10"/>
      <name val="Consolas"/>
      <family val="0"/>
      <charset val="1"/>
    </font>
  </fonts>
  <fills count="5">
    <fill>
      <patternFill patternType="none"/>
    </fill>
    <fill>
      <patternFill patternType="gray125"/>
    </fill>
    <fill>
      <patternFill patternType="solid">
        <fgColor rgb="FFEEF1F6"/>
        <bgColor rgb="FFFFFFFF"/>
      </patternFill>
    </fill>
    <fill>
      <patternFill patternType="solid">
        <fgColor rgb="FF1F3864"/>
        <bgColor rgb="FF333333"/>
      </patternFill>
    </fill>
    <fill>
      <patternFill patternType="solid">
        <fgColor rgb="FFFFF2CC"/>
        <bgColor rgb="FFEEF1F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5" fontId="6" fillId="2"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Arial"/>
        <charset val="1"/>
        <family val="0"/>
        <b val="1"/>
        <color rgb="FF006100"/>
        <sz val="10"/>
      </font>
      <fill>
        <patternFill>
          <bgColor rgb="FFC6EFCE"/>
        </patternFill>
      </fill>
    </dxf>
    <dxf>
      <font>
        <name val="Arial"/>
        <charset val="1"/>
        <family val="0"/>
        <b val="1"/>
        <color rgb="FF9C0006"/>
        <sz val="10"/>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EF1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8"/>
    <col collapsed="false" customWidth="true" hidden="false" outlineLevel="0" max="4" min="4" style="0" width="22"/>
    <col collapsed="false" customWidth="true" hidden="false" outlineLevel="0" max="5" min="5" style="0" width="38"/>
    <col collapsed="false" customWidth="true" hidden="false" outlineLevel="0" max="6" min="6" style="0" width="30"/>
    <col collapsed="false" customWidth="true" hidden="false" outlineLevel="0" max="7" min="7" style="0" width="46"/>
    <col collapsed="false" customWidth="true" hidden="false" outlineLevel="0" max="8" min="8" style="0" width="42"/>
    <col collapsed="false" customWidth="true" hidden="false" outlineLevel="0" max="9" min="9" style="0" width="10"/>
    <col collapsed="false" customWidth="true" hidden="false" outlineLevel="0" max="10" min="10" style="0" width="2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c r="C4" s="4" t="n">
        <f aca="false">COUNTA(A9:A29)</f>
        <v>21</v>
      </c>
    </row>
    <row r="5" customFormat="false" ht="15" hidden="false" customHeight="false" outlineLevel="0" collapsed="false">
      <c r="B5" s="3" t="s">
        <v>3</v>
      </c>
      <c r="C5" s="4" t="n">
        <f aca="false">COUNTIF(I9:I29,"Pass")</f>
        <v>0</v>
      </c>
    </row>
    <row r="6" customFormat="false" ht="15" hidden="false" customHeight="false" outlineLevel="0" collapsed="false">
      <c r="B6" s="3" t="s">
        <v>4</v>
      </c>
      <c r="C6" s="4" t="n">
        <f aca="false">COUNTIF(I9:I29,"Fail")</f>
        <v>0</v>
      </c>
    </row>
    <row r="7" customFormat="false" ht="15" hidden="false" customHeight="false" outlineLevel="0" collapsed="false">
      <c r="B7" s="3" t="s">
        <v>5</v>
      </c>
      <c r="C7" s="4" t="n">
        <f aca="false">C4-C5-C6</f>
        <v>21</v>
      </c>
    </row>
    <row r="8" customFormat="false" ht="30" hidden="false" customHeight="true" outlineLevel="0" collapsed="false">
      <c r="A8" s="5" t="s">
        <v>6</v>
      </c>
      <c r="B8" s="5" t="s">
        <v>7</v>
      </c>
      <c r="C8" s="5" t="s">
        <v>8</v>
      </c>
      <c r="D8" s="5" t="s">
        <v>9</v>
      </c>
      <c r="E8" s="5" t="s">
        <v>10</v>
      </c>
      <c r="F8" s="5" t="s">
        <v>11</v>
      </c>
      <c r="G8" s="5" t="s">
        <v>12</v>
      </c>
      <c r="H8" s="5" t="s">
        <v>13</v>
      </c>
      <c r="I8" s="5" t="s">
        <v>14</v>
      </c>
      <c r="J8" s="5" t="s">
        <v>15</v>
      </c>
    </row>
    <row r="9" customFormat="false" ht="33" hidden="false" customHeight="true" outlineLevel="0" collapsed="false">
      <c r="A9" s="6" t="s">
        <v>16</v>
      </c>
      <c r="B9" s="7" t="s">
        <v>17</v>
      </c>
      <c r="C9" s="6" t="n">
        <v>2</v>
      </c>
      <c r="D9" s="7" t="s">
        <v>18</v>
      </c>
      <c r="E9" s="8" t="s">
        <v>19</v>
      </c>
      <c r="F9" s="7" t="s">
        <v>20</v>
      </c>
      <c r="G9" s="7" t="s">
        <v>21</v>
      </c>
      <c r="H9" s="7" t="s">
        <v>22</v>
      </c>
      <c r="I9" s="9"/>
      <c r="J9" s="10"/>
    </row>
    <row r="10" customFormat="false" ht="33" hidden="false" customHeight="true" outlineLevel="0" collapsed="false">
      <c r="A10" s="6" t="s">
        <v>23</v>
      </c>
      <c r="B10" s="7" t="s">
        <v>17</v>
      </c>
      <c r="C10" s="6" t="n">
        <v>2</v>
      </c>
      <c r="D10" s="7" t="s">
        <v>24</v>
      </c>
      <c r="E10" s="8" t="s">
        <v>25</v>
      </c>
      <c r="F10" s="7" t="s">
        <v>26</v>
      </c>
      <c r="G10" s="7" t="s">
        <v>27</v>
      </c>
      <c r="H10" s="7" t="s">
        <v>28</v>
      </c>
      <c r="I10" s="9"/>
      <c r="J10" s="10"/>
    </row>
    <row r="11" customFormat="false" ht="46.5" hidden="false" customHeight="true" outlineLevel="0" collapsed="false">
      <c r="A11" s="6" t="s">
        <v>29</v>
      </c>
      <c r="B11" s="7" t="s">
        <v>30</v>
      </c>
      <c r="C11" s="6" t="n">
        <v>2</v>
      </c>
      <c r="D11" s="7" t="s">
        <v>24</v>
      </c>
      <c r="E11" s="8" t="s">
        <v>31</v>
      </c>
      <c r="F11" s="7" t="s">
        <v>32</v>
      </c>
      <c r="G11" s="7" t="s">
        <v>33</v>
      </c>
      <c r="H11" s="7" t="s">
        <v>34</v>
      </c>
      <c r="I11" s="9"/>
      <c r="J11" s="10"/>
    </row>
    <row r="12" customFormat="false" ht="46.5" hidden="false" customHeight="true" outlineLevel="0" collapsed="false">
      <c r="A12" s="6" t="s">
        <v>35</v>
      </c>
      <c r="B12" s="7" t="s">
        <v>36</v>
      </c>
      <c r="C12" s="6" t="n">
        <v>2</v>
      </c>
      <c r="D12" s="7" t="s">
        <v>37</v>
      </c>
      <c r="E12" s="8" t="s">
        <v>38</v>
      </c>
      <c r="F12" s="7" t="s">
        <v>39</v>
      </c>
      <c r="G12" s="7" t="s">
        <v>40</v>
      </c>
      <c r="H12" s="7" t="s">
        <v>41</v>
      </c>
      <c r="I12" s="9"/>
      <c r="J12" s="10"/>
    </row>
    <row r="13" customFormat="false" ht="46.5" hidden="false" customHeight="true" outlineLevel="0" collapsed="false">
      <c r="A13" s="6" t="s">
        <v>42</v>
      </c>
      <c r="B13" s="7" t="s">
        <v>17</v>
      </c>
      <c r="C13" s="6" t="n">
        <v>2</v>
      </c>
      <c r="D13" s="7" t="s">
        <v>24</v>
      </c>
      <c r="E13" s="8" t="s">
        <v>43</v>
      </c>
      <c r="F13" s="7" t="s">
        <v>44</v>
      </c>
      <c r="G13" s="7" t="s">
        <v>45</v>
      </c>
      <c r="H13" s="7" t="s">
        <v>46</v>
      </c>
      <c r="I13" s="9"/>
      <c r="J13" s="10"/>
    </row>
    <row r="14" customFormat="false" ht="33" hidden="false" customHeight="true" outlineLevel="0" collapsed="false">
      <c r="A14" s="6" t="s">
        <v>47</v>
      </c>
      <c r="B14" s="7" t="s">
        <v>48</v>
      </c>
      <c r="C14" s="6" t="n">
        <v>2</v>
      </c>
      <c r="D14" s="7" t="s">
        <v>49</v>
      </c>
      <c r="E14" s="8" t="s">
        <v>50</v>
      </c>
      <c r="F14" s="7" t="s">
        <v>51</v>
      </c>
      <c r="G14" s="7" t="s">
        <v>52</v>
      </c>
      <c r="H14" s="7" t="s">
        <v>53</v>
      </c>
      <c r="I14" s="9"/>
      <c r="J14" s="10"/>
    </row>
    <row r="15" customFormat="false" ht="33" hidden="false" customHeight="true" outlineLevel="0" collapsed="false">
      <c r="A15" s="6" t="s">
        <v>54</v>
      </c>
      <c r="B15" s="7" t="s">
        <v>17</v>
      </c>
      <c r="C15" s="6" t="n">
        <v>1</v>
      </c>
      <c r="D15" s="7" t="s">
        <v>18</v>
      </c>
      <c r="E15" s="8" t="s">
        <v>55</v>
      </c>
      <c r="F15" s="7" t="s">
        <v>56</v>
      </c>
      <c r="G15" s="7" t="s">
        <v>57</v>
      </c>
      <c r="H15" s="7" t="s">
        <v>58</v>
      </c>
      <c r="I15" s="9"/>
      <c r="J15" s="10"/>
    </row>
    <row r="16" customFormat="false" ht="46.5" hidden="false" customHeight="true" outlineLevel="0" collapsed="false">
      <c r="A16" s="6" t="s">
        <v>59</v>
      </c>
      <c r="B16" s="7" t="s">
        <v>17</v>
      </c>
      <c r="C16" s="6" t="n">
        <v>1</v>
      </c>
      <c r="D16" s="7" t="s">
        <v>24</v>
      </c>
      <c r="E16" s="8" t="s">
        <v>60</v>
      </c>
      <c r="F16" s="7" t="s">
        <v>61</v>
      </c>
      <c r="G16" s="7" t="s">
        <v>62</v>
      </c>
      <c r="H16" s="7" t="s">
        <v>63</v>
      </c>
      <c r="I16" s="9"/>
      <c r="J16" s="10"/>
    </row>
    <row r="17" customFormat="false" ht="46.5" hidden="false" customHeight="true" outlineLevel="0" collapsed="false">
      <c r="A17" s="6" t="s">
        <v>64</v>
      </c>
      <c r="B17" s="7" t="s">
        <v>65</v>
      </c>
      <c r="C17" s="6" t="n">
        <v>1</v>
      </c>
      <c r="D17" s="7" t="s">
        <v>37</v>
      </c>
      <c r="E17" s="8" t="s">
        <v>66</v>
      </c>
      <c r="F17" s="7" t="s">
        <v>67</v>
      </c>
      <c r="G17" s="7" t="s">
        <v>68</v>
      </c>
      <c r="H17" s="7" t="s">
        <v>69</v>
      </c>
      <c r="I17" s="9"/>
      <c r="J17" s="10"/>
    </row>
    <row r="18" customFormat="false" ht="33" hidden="false" customHeight="true" outlineLevel="0" collapsed="false">
      <c r="A18" s="6" t="s">
        <v>70</v>
      </c>
      <c r="B18" s="7" t="s">
        <v>71</v>
      </c>
      <c r="C18" s="6" t="n">
        <v>2</v>
      </c>
      <c r="D18" s="7" t="s">
        <v>18</v>
      </c>
      <c r="E18" s="8" t="s">
        <v>72</v>
      </c>
      <c r="F18" s="7" t="s">
        <v>73</v>
      </c>
      <c r="G18" s="7" t="s">
        <v>74</v>
      </c>
      <c r="H18" s="7" t="s">
        <v>75</v>
      </c>
      <c r="I18" s="9"/>
      <c r="J18" s="10"/>
    </row>
    <row r="19" customFormat="false" ht="33" hidden="false" customHeight="true" outlineLevel="0" collapsed="false">
      <c r="A19" s="6" t="s">
        <v>76</v>
      </c>
      <c r="B19" s="7" t="s">
        <v>71</v>
      </c>
      <c r="C19" s="6" t="n">
        <v>2</v>
      </c>
      <c r="D19" s="7" t="s">
        <v>24</v>
      </c>
      <c r="E19" s="8" t="s">
        <v>72</v>
      </c>
      <c r="F19" s="7" t="s">
        <v>73</v>
      </c>
      <c r="G19" s="7" t="s">
        <v>77</v>
      </c>
      <c r="H19" s="7" t="s">
        <v>78</v>
      </c>
      <c r="I19" s="9"/>
      <c r="J19" s="10"/>
    </row>
    <row r="20" customFormat="false" ht="33" hidden="false" customHeight="true" outlineLevel="0" collapsed="false">
      <c r="A20" s="6" t="s">
        <v>79</v>
      </c>
      <c r="B20" s="7" t="s">
        <v>71</v>
      </c>
      <c r="C20" s="6" t="n">
        <v>2</v>
      </c>
      <c r="D20" s="7" t="s">
        <v>18</v>
      </c>
      <c r="E20" s="8" t="s">
        <v>80</v>
      </c>
      <c r="F20" s="7" t="s">
        <v>73</v>
      </c>
      <c r="G20" s="7" t="s">
        <v>81</v>
      </c>
      <c r="H20" s="7" t="s">
        <v>75</v>
      </c>
      <c r="I20" s="9"/>
      <c r="J20" s="10"/>
    </row>
    <row r="21" customFormat="false" ht="33" hidden="false" customHeight="true" outlineLevel="0" collapsed="false">
      <c r="A21" s="6" t="s">
        <v>82</v>
      </c>
      <c r="B21" s="7" t="s">
        <v>71</v>
      </c>
      <c r="C21" s="6" t="n">
        <v>2</v>
      </c>
      <c r="D21" s="7" t="s">
        <v>24</v>
      </c>
      <c r="E21" s="8" t="s">
        <v>80</v>
      </c>
      <c r="F21" s="7" t="s">
        <v>73</v>
      </c>
      <c r="G21" s="7" t="s">
        <v>83</v>
      </c>
      <c r="H21" s="7" t="s">
        <v>78</v>
      </c>
      <c r="I21" s="9"/>
      <c r="J21" s="10"/>
    </row>
    <row r="22" customFormat="false" ht="33" hidden="false" customHeight="true" outlineLevel="0" collapsed="false">
      <c r="A22" s="6" t="s">
        <v>84</v>
      </c>
      <c r="B22" s="7" t="s">
        <v>71</v>
      </c>
      <c r="C22" s="6" t="n">
        <v>2</v>
      </c>
      <c r="D22" s="7" t="s">
        <v>18</v>
      </c>
      <c r="E22" s="8" t="s">
        <v>85</v>
      </c>
      <c r="F22" s="7" t="s">
        <v>73</v>
      </c>
      <c r="G22" s="7" t="s">
        <v>86</v>
      </c>
      <c r="H22" s="7" t="s">
        <v>75</v>
      </c>
      <c r="I22" s="9"/>
      <c r="J22" s="10"/>
    </row>
    <row r="23" customFormat="false" ht="33" hidden="false" customHeight="true" outlineLevel="0" collapsed="false">
      <c r="A23" s="6" t="s">
        <v>87</v>
      </c>
      <c r="B23" s="7" t="s">
        <v>71</v>
      </c>
      <c r="C23" s="6" t="n">
        <v>2</v>
      </c>
      <c r="D23" s="7" t="s">
        <v>24</v>
      </c>
      <c r="E23" s="8" t="s">
        <v>85</v>
      </c>
      <c r="F23" s="7" t="s">
        <v>73</v>
      </c>
      <c r="G23" s="7" t="s">
        <v>88</v>
      </c>
      <c r="H23" s="7" t="s">
        <v>78</v>
      </c>
      <c r="I23" s="9"/>
      <c r="J23" s="10"/>
    </row>
    <row r="24" customFormat="false" ht="33" hidden="false" customHeight="true" outlineLevel="0" collapsed="false">
      <c r="A24" s="6" t="s">
        <v>89</v>
      </c>
      <c r="B24" s="7" t="s">
        <v>71</v>
      </c>
      <c r="C24" s="6" t="n">
        <v>2</v>
      </c>
      <c r="D24" s="7" t="s">
        <v>18</v>
      </c>
      <c r="E24" s="8" t="s">
        <v>90</v>
      </c>
      <c r="F24" s="7" t="s">
        <v>73</v>
      </c>
      <c r="G24" s="7" t="s">
        <v>91</v>
      </c>
      <c r="H24" s="7" t="s">
        <v>75</v>
      </c>
      <c r="I24" s="9"/>
      <c r="J24" s="10"/>
    </row>
    <row r="25" customFormat="false" ht="33" hidden="false" customHeight="true" outlineLevel="0" collapsed="false">
      <c r="A25" s="6" t="s">
        <v>92</v>
      </c>
      <c r="B25" s="7" t="s">
        <v>71</v>
      </c>
      <c r="C25" s="6" t="n">
        <v>2</v>
      </c>
      <c r="D25" s="7" t="s">
        <v>24</v>
      </c>
      <c r="E25" s="8" t="s">
        <v>90</v>
      </c>
      <c r="F25" s="7" t="s">
        <v>73</v>
      </c>
      <c r="G25" s="7" t="s">
        <v>93</v>
      </c>
      <c r="H25" s="7" t="s">
        <v>78</v>
      </c>
      <c r="I25" s="9"/>
      <c r="J25" s="10"/>
    </row>
    <row r="26" customFormat="false" ht="33" hidden="false" customHeight="true" outlineLevel="0" collapsed="false">
      <c r="A26" s="6" t="s">
        <v>94</v>
      </c>
      <c r="B26" s="7" t="s">
        <v>71</v>
      </c>
      <c r="C26" s="6" t="n">
        <v>1</v>
      </c>
      <c r="D26" s="7" t="s">
        <v>18</v>
      </c>
      <c r="E26" s="8" t="s">
        <v>95</v>
      </c>
      <c r="F26" s="7" t="s">
        <v>73</v>
      </c>
      <c r="G26" s="7" t="s">
        <v>96</v>
      </c>
      <c r="H26" s="7" t="s">
        <v>97</v>
      </c>
      <c r="I26" s="9"/>
      <c r="J26" s="10"/>
    </row>
    <row r="27" customFormat="false" ht="33" hidden="false" customHeight="true" outlineLevel="0" collapsed="false">
      <c r="A27" s="6" t="s">
        <v>98</v>
      </c>
      <c r="B27" s="7" t="s">
        <v>71</v>
      </c>
      <c r="C27" s="6" t="n">
        <v>1</v>
      </c>
      <c r="D27" s="7" t="s">
        <v>24</v>
      </c>
      <c r="E27" s="8" t="s">
        <v>95</v>
      </c>
      <c r="F27" s="7" t="s">
        <v>73</v>
      </c>
      <c r="G27" s="7" t="s">
        <v>99</v>
      </c>
      <c r="H27" s="7" t="s">
        <v>100</v>
      </c>
      <c r="I27" s="9"/>
      <c r="J27" s="10"/>
    </row>
    <row r="28" customFormat="false" ht="33" hidden="false" customHeight="true" outlineLevel="0" collapsed="false">
      <c r="A28" s="6" t="s">
        <v>101</v>
      </c>
      <c r="B28" s="7" t="s">
        <v>102</v>
      </c>
      <c r="C28" s="6" t="n">
        <v>2</v>
      </c>
      <c r="D28" s="7" t="s">
        <v>103</v>
      </c>
      <c r="E28" s="8" t="s">
        <v>104</v>
      </c>
      <c r="F28" s="7" t="s">
        <v>105</v>
      </c>
      <c r="G28" s="7" t="s">
        <v>106</v>
      </c>
      <c r="H28" s="7" t="s">
        <v>107</v>
      </c>
      <c r="I28" s="9"/>
      <c r="J28" s="10"/>
    </row>
    <row r="29" customFormat="false" ht="33" hidden="false" customHeight="true" outlineLevel="0" collapsed="false">
      <c r="A29" s="6" t="s">
        <v>108</v>
      </c>
      <c r="B29" s="7" t="s">
        <v>102</v>
      </c>
      <c r="C29" s="6" t="n">
        <v>2</v>
      </c>
      <c r="D29" s="7" t="s">
        <v>109</v>
      </c>
      <c r="E29" s="8" t="s">
        <v>110</v>
      </c>
      <c r="F29" s="7" t="s">
        <v>111</v>
      </c>
      <c r="G29" s="7" t="s">
        <v>106</v>
      </c>
      <c r="H29" s="7" t="s">
        <v>107</v>
      </c>
      <c r="I29" s="9"/>
      <c r="J29" s="10"/>
    </row>
  </sheetData>
  <conditionalFormatting sqref="I9:I29">
    <cfRule type="cellIs" priority="2" operator="equal" aboveAverage="0" equalAverage="0" bottom="0" percent="0" rank="0" text="" dxfId="0">
      <formula>"Pass"</formula>
    </cfRule>
    <cfRule type="cellIs" priority="3" operator="equal" aboveAverage="0" equalAverage="0" bottom="0" percent="0" rank="0" text="" dxfId="1">
      <formula>"Fail"</formula>
    </cfRule>
  </conditionalFormatting>
  <dataValidations count="1">
    <dataValidation allowBlank="true" error="Choose Pass or Fail." errorStyle="stop" errorTitle="Result" operator="between" showDropDown="false" showErrorMessage="true" showInputMessage="false" sqref="I9:I29"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7.35" hidden="false" customHeight="false" outlineLevel="0" collapsed="false">
      <c r="A1" s="1" t="s">
        <v>112</v>
      </c>
    </row>
    <row r="3" customFormat="false" ht="46.5" hidden="false" customHeight="true" outlineLevel="0" collapsed="false">
      <c r="A3" s="11" t="s">
        <v>113</v>
      </c>
      <c r="B3" s="7" t="s">
        <v>114</v>
      </c>
    </row>
    <row r="4" customFormat="false" ht="33" hidden="false" customHeight="true" outlineLevel="0" collapsed="false">
      <c r="A4" s="11" t="s">
        <v>115</v>
      </c>
      <c r="B4" s="7" t="s">
        <v>116</v>
      </c>
    </row>
    <row r="5" customFormat="false" ht="19.5" hidden="false" customHeight="true" outlineLevel="0" collapsed="false">
      <c r="A5" s="11" t="s">
        <v>117</v>
      </c>
      <c r="B5" s="7" t="s">
        <v>118</v>
      </c>
    </row>
    <row r="6" customFormat="false" ht="19.5" hidden="false" customHeight="true" outlineLevel="0" collapsed="false">
      <c r="A6" s="11" t="s">
        <v>119</v>
      </c>
      <c r="B6" s="7" t="s">
        <v>120</v>
      </c>
    </row>
    <row r="7" customFormat="false" ht="33" hidden="false" customHeight="true" outlineLevel="0" collapsed="false">
      <c r="A7" s="11" t="s">
        <v>121</v>
      </c>
      <c r="B7" s="7" t="s">
        <v>122</v>
      </c>
    </row>
    <row r="8" customFormat="false" ht="33" hidden="false" customHeight="true" outlineLevel="0" collapsed="false">
      <c r="A8" s="11" t="s">
        <v>123</v>
      </c>
      <c r="B8" s="7" t="s">
        <v>124</v>
      </c>
    </row>
    <row r="9" customFormat="false" ht="33" hidden="false" customHeight="true" outlineLevel="0" collapsed="false">
      <c r="A9" s="11" t="s">
        <v>125</v>
      </c>
      <c r="B9" s="7" t="s">
        <v>126</v>
      </c>
    </row>
    <row r="10" customFormat="false" ht="33" hidden="false" customHeight="true" outlineLevel="0" collapsed="false">
      <c r="A10" s="11" t="s">
        <v>127</v>
      </c>
      <c r="B10" s="7" t="s">
        <v>128</v>
      </c>
    </row>
    <row r="11" customFormat="false" ht="33" hidden="false" customHeight="true" outlineLevel="0" collapsed="false">
      <c r="A11" s="11" t="s">
        <v>129</v>
      </c>
      <c r="B11" s="7" t="s">
        <v>130</v>
      </c>
    </row>
    <row r="12" customFormat="false" ht="33" hidden="false" customHeight="true" outlineLevel="0" collapsed="false">
      <c r="A12" s="11" t="s">
        <v>131</v>
      </c>
      <c r="B12" s="7" t="s">
        <v>132</v>
      </c>
    </row>
    <row r="13" customFormat="false" ht="46.5" hidden="false" customHeight="true" outlineLevel="0" collapsed="false">
      <c r="A13" s="11" t="s">
        <v>133</v>
      </c>
      <c r="B13" s="7" t="s">
        <v>134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2026-10-17T12:03:41Z</dcterms:created>
  <dc:creator>openpyxl</dc:creator>
  <dc:description/>
  <dc:language>en-US</dc:language>
  <cp:lastModifiedBy/>
  <dcterms:modified xsi:type="dcterms:W3CDTF">2026-10-17T12:03:41Z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